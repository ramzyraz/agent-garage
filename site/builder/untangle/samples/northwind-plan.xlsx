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umptions" sheetId="1" r:id="rId1"/>
    <sheet name="Revenue" sheetId="2" r:id="rId2"/>
    <sheet name="Costs" sheetId="3" r:id="rId3"/>
    <sheet name="P&amp;L" sheetId="4" r:id="rId4"/>
    <sheet name="Dashboard" sheetId="5" r:id="rId5"/>
    <sheet name="Scratch" sheetId="6" state="hidden" r:id="rId6"/>
  </sheets>
  <definedNames>
    <definedName name="TaxRate">Assumptions!$B$14</definedName>
  </definedNames>
  <calcPr calcId="191029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1" fillId="0" borderId="0" xfId="0" applyFont="1"/>
    <xf numFmtId="3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14" customWidth="1"/>
    <col min="3" max="3" width="46" customWidth="1"/>
  </cols>
  <sheetData>
    <row r="1">
      <c r="A1" s="3" t="inlineStr">
        <is>
          <t>Northwind Coffee: 5-year plan</t>
        </is>
      </c>
    </row>
    <row r="3">
      <c r="A3" s="3" t="inlineStr">
        <is>
          <t>Assumption</t>
        </is>
      </c>
      <c r="B3" s="3" t="inlineStr">
        <is>
          <t>Value</t>
        </is>
      </c>
      <c r="C3" s="3" t="inlineStr">
        <is>
          <t>Notes</t>
        </is>
      </c>
    </row>
    <row r="4">
      <c r="A4" t="inlineStr">
        <is>
          <t>Price per cup (2027)</t>
        </is>
      </c>
      <c r="B4" s="2">
        <v>4.6</v>
      </c>
      <c r="C4" t="inlineStr">
        <is>
          <t>Average ticket ÷ cups</t>
        </is>
      </c>
    </row>
    <row r="5">
      <c r="A5" t="inlineStr">
        <is>
          <t>Cups per store per day</t>
        </is>
      </c>
      <c r="B5" s="4">
        <v>310</v>
      </c>
      <c r="C5" t="inlineStr">
        <is>
          <t>From the pilot store</t>
        </is>
      </c>
    </row>
    <row r="6">
      <c r="A6" t="inlineStr">
        <is>
          <t>Days open per year</t>
        </is>
      </c>
      <c r="B6" s="4">
        <v>360</v>
      </c>
    </row>
    <row r="7">
      <c r="A7" t="inlineStr">
        <is>
          <t>Price increase per year</t>
        </is>
      </c>
      <c r="B7" s="1">
        <v>0.03</v>
      </c>
    </row>
    <row r="8">
      <c r="A8" t="inlineStr">
        <is>
          <t>Cost of goods (% of sales)</t>
        </is>
      </c>
      <c r="B8" s="1">
        <v>0.31</v>
      </c>
      <c r="C8" t="inlineStr">
        <is>
          <t>Beans, milk, cups</t>
        </is>
      </c>
    </row>
    <row r="9">
      <c r="A9" t="inlineStr">
        <is>
          <t>Rent per store per year</t>
        </is>
      </c>
      <c r="B9" s="2">
        <v>84000</v>
      </c>
    </row>
    <row r="10">
      <c r="A10" t="inlineStr">
        <is>
          <t>Staff per store</t>
        </is>
      </c>
      <c r="B10" s="4">
        <v>6</v>
      </c>
    </row>
    <row r="11">
      <c r="A11" t="inlineStr">
        <is>
          <t>Salary per staff member</t>
        </is>
      </c>
      <c r="B11" s="2">
        <v>38000</v>
      </c>
      <c r="C11" t="inlineStr">
        <is>
          <t>Fully loaded</t>
        </is>
      </c>
    </row>
    <row r="12">
      <c r="A12" t="inlineStr">
        <is>
          <t>Marketing (% of sales)</t>
        </is>
      </c>
      <c r="B12" s="1">
        <v>0.05</v>
      </c>
      <c r="C12" t="inlineStr">
        <is>
          <t>Agreed with the board in March</t>
        </is>
      </c>
    </row>
    <row r="13">
      <c r="A13" t="inlineStr">
        <is>
          <t>Opening cost per new store</t>
        </is>
      </c>
      <c r="B13" s="2">
        <v>250000</v>
      </c>
      <c r="C13" t="inlineStr">
        <is>
          <t>Fit-out and equipment</t>
        </is>
      </c>
    </row>
    <row r="14">
      <c r="A14" t="inlineStr">
        <is>
          <t>Tax rate</t>
        </is>
      </c>
      <c r="B14" s="1">
        <v>0.25</v>
      </c>
    </row>
    <row r="16">
      <c r="A16" s="3" t="inlineStr">
        <is>
          <t>Stores open (end of year)</t>
        </is>
      </c>
      <c r="C16" s="3">
        <v>2027</v>
      </c>
      <c r="D16" s="3">
        <v>2028</v>
      </c>
      <c r="E16" s="3">
        <v>2029</v>
      </c>
      <c r="F16" s="3">
        <v>2030</v>
      </c>
      <c r="G16" s="3">
        <v>2031</v>
      </c>
    </row>
    <row r="17">
      <c r="A17" t="inlineStr">
        <is>
          <t>Stores</t>
        </is>
      </c>
      <c r="C17">
        <v>4</v>
      </c>
      <c r="D17">
        <v>6</v>
      </c>
      <c r="E17">
        <v>9</v>
      </c>
      <c r="F17">
        <v>12</v>
      </c>
      <c r="G17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6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3" t="inlineStr">
        <is>
          <t>Revenue</t>
        </is>
      </c>
    </row>
    <row r="3">
      <c r="C3" s="3">
        <v>2027</v>
      </c>
      <c r="D3" s="3">
        <f>C3+1</f>
        <v>2028</v>
      </c>
      <c r="E3" s="3">
        <f>D3+1</f>
        <v>2029</v>
      </c>
      <c r="F3" s="3">
        <f>E3+1</f>
        <v>2030</v>
      </c>
      <c r="G3" s="3">
        <f>F3+1</f>
        <v>2031</v>
      </c>
    </row>
    <row r="4">
      <c r="A4" t="inlineStr">
        <is>
          <t>Stores</t>
        </is>
      </c>
      <c r="C4">
        <f>Assumptions!C17</f>
        <v>4</v>
      </c>
      <c r="D4">
        <f>Assumptions!D17</f>
        <v>6</v>
      </c>
      <c r="E4">
        <f>Assumptions!E17</f>
        <v>9</v>
      </c>
      <c r="F4">
        <f>Assumptions!F17</f>
        <v>12</v>
      </c>
      <c r="G4">
        <f>Assumptions!G17</f>
        <v>15</v>
      </c>
    </row>
    <row r="5">
      <c r="A5" t="inlineStr">
        <is>
          <t>Price per cup</t>
        </is>
      </c>
      <c r="C5" s="2">
        <f>Assumptions!$B$4*(1+Assumptions!$B$7)^(C$3-$C$3)</f>
        <v>4.6</v>
      </c>
      <c r="D5" s="2">
        <f>Assumptions!$B$4*(1+Assumptions!$B$7)^(D$3-$C$3)</f>
        <v>4.7379999999999995</v>
      </c>
      <c r="E5" s="2">
        <f>Assumptions!$B$4*(1+Assumptions!$B$7)^(E$3-$C$3)</f>
        <v>4.880139999999999</v>
      </c>
      <c r="F5" s="2">
        <f>Assumptions!$B$4*(1+Assumptions!$B$7)^(F$3-$C$3)</f>
        <v>5.0265442</v>
      </c>
      <c r="G5" s="2">
        <f>Assumptions!$B$4*(1+Assumptions!$B$7)^(G$3-$C$3)</f>
        <v>5.177340526</v>
      </c>
    </row>
    <row r="6">
      <c r="A6" t="inlineStr">
        <is>
          <t>Cups sold</t>
        </is>
      </c>
      <c r="C6" s="4">
        <f t="shared" ref="C6:G6" si="6">C4*Assumptions!$B$5*Assumptions!$B$6</f>
        <v>446400</v>
      </c>
      <c r="D6" s="4">
        <f t="shared" si="6"/>
        <v>669600</v>
      </c>
      <c r="E6" s="4">
        <f t="shared" si="6"/>
        <v>1004400</v>
      </c>
      <c r="F6" s="4">
        <f t="shared" si="6"/>
        <v>1339200</v>
      </c>
      <c r="G6" s="4">
        <f t="shared" si="6"/>
        <v>1674000</v>
      </c>
    </row>
    <row r="7">
      <c r="A7" t="inlineStr">
        <is>
          <t>Revenue</t>
        </is>
      </c>
      <c r="C7" s="2">
        <f>C5*C6</f>
        <v>2053439.9999999998</v>
      </c>
      <c r="D7" s="2">
        <f>D5*D6</f>
        <v>3172564.8</v>
      </c>
      <c r="E7" s="2">
        <f>E5*E6</f>
        <v>4901612.615999999</v>
      </c>
      <c r="F7" s="2">
        <f>F5*F6</f>
        <v>6731547.99264</v>
      </c>
      <c r="G7" s="2">
        <f>G5*G6</f>
        <v>8666868.040524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6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3" t="inlineStr">
        <is>
          <t>Costs</t>
        </is>
      </c>
    </row>
    <row r="3">
      <c r="C3" s="3">
        <f>Revenue!C3</f>
        <v>2027</v>
      </c>
      <c r="D3" s="3">
        <f>Revenue!D3</f>
        <v>2028</v>
      </c>
      <c r="E3" s="3">
        <f>Revenue!E3</f>
        <v>2029</v>
      </c>
      <c r="F3" s="3">
        <f>Revenue!F3</f>
        <v>2030</v>
      </c>
      <c r="G3" s="3">
        <f>Revenue!G3</f>
        <v>2031</v>
      </c>
    </row>
    <row r="4">
      <c r="A4" t="inlineStr">
        <is>
          <t>Cost of goods</t>
        </is>
      </c>
      <c r="C4" s="2">
        <f>Revenue!C7*Assumptions!$B$8</f>
        <v>636566.3999999999</v>
      </c>
      <c r="D4" s="2">
        <f>Revenue!D7*Assumptions!$B$8</f>
        <v>983495.088</v>
      </c>
      <c r="E4" s="2">
        <f>Revenue!E7*Assumptions!$B$8</f>
        <v>1519499.9109599998</v>
      </c>
      <c r="F4" s="2">
        <f>Revenue!F7*Assumptions!$B$8</f>
        <v>2086779.8777184</v>
      </c>
      <c r="G4" s="2">
        <f>Revenue!G7*Assumptions!$B$8</f>
        <v>2686729.09256244</v>
      </c>
    </row>
    <row r="5">
      <c r="A5" t="inlineStr">
        <is>
          <t>Rent</t>
        </is>
      </c>
      <c r="C5" s="2">
        <f>Revenue!C4*Assumptions!$B$9</f>
        <v>336000</v>
      </c>
      <c r="D5" s="2">
        <f>Revenue!D4*Assumptions!$B$9</f>
        <v>504000</v>
      </c>
      <c r="E5" s="2">
        <f>Revenue!E4*Assumptions!$B$9</f>
        <v>756000</v>
      </c>
      <c r="F5" s="2">
        <f>Revenue!F4*Assumptions!$B$9</f>
        <v>1008000</v>
      </c>
      <c r="G5" s="2">
        <f>Revenue!G4*Assumptions!$B$9</f>
        <v>1260000</v>
      </c>
    </row>
    <row r="6">
      <c r="A6" t="inlineStr">
        <is>
          <t>Staff</t>
        </is>
      </c>
      <c r="C6" s="2">
        <f>Revenue!C4*Assumptions!$B$10*Assumptions!$B$11</f>
        <v>912000</v>
      </c>
      <c r="D6" s="2">
        <f>Revenue!D4*Assumptions!$B$10*Assumptions!$B$11</f>
        <v>1368000</v>
      </c>
      <c r="E6" s="2">
        <f>Revenue!E4*Assumptions!$B$10*Assumptions!$B$11</f>
        <v>2052000</v>
      </c>
      <c r="F6" s="2">
        <v>2280000</v>
      </c>
      <c r="G6" s="2">
        <f>Revenue!G4*Assumptions!$B$10*Assumptions!$B$11</f>
        <v>3420000</v>
      </c>
    </row>
    <row r="7">
      <c r="A7" t="inlineStr">
        <is>
          <t>Marketing</t>
        </is>
      </c>
      <c r="C7" s="2">
        <f>Revenue!C7*0.04</f>
        <v>82137.59999999999</v>
      </c>
      <c r="D7" s="2">
        <f>Revenue!D7*0.04</f>
        <v>126902.59199999999</v>
      </c>
      <c r="E7" s="2">
        <f>Revenue!E7*0.04</f>
        <v>196064.50463999997</v>
      </c>
      <c r="F7" s="2">
        <f>Revenue!F7*0.04</f>
        <v>269261.9197056</v>
      </c>
      <c r="G7" s="2">
        <f>Revenue!G7*0.04</f>
        <v>346674.72162096004</v>
      </c>
    </row>
    <row r="8">
      <c r="A8" t="inlineStr">
        <is>
          <t>New store openings</t>
        </is>
      </c>
      <c r="C8" s="2">
        <f>Revenue!C4*Assumptions!$B$13</f>
        <v>1000000</v>
      </c>
      <c r="D8" s="2">
        <f>(Revenue!D4-Revenue!C4)*Assumptions!$B$13</f>
        <v>500000</v>
      </c>
      <c r="E8" s="2">
        <f>(Revenue!E4-Revenue!D4)*Assumptions!$B$13</f>
        <v>750000</v>
      </c>
      <c r="F8" s="2">
        <f>(Revenue!F4-Revenue!E4)*Assumptions!$B$13</f>
        <v>750000</v>
      </c>
      <c r="G8" s="2">
        <f>(Revenue!G4-Revenue!F4)*Assumptions!$B$13</f>
        <v>750000</v>
      </c>
    </row>
    <row r="9">
      <c r="A9" t="inlineStr">
        <is>
          <t>Total costs</t>
        </is>
      </c>
      <c r="C9" s="2">
        <f>SUM(C4:C8)</f>
        <v>2966704</v>
      </c>
      <c r="D9" s="2">
        <f>SUM(D4:D8)</f>
        <v>3482397.68</v>
      </c>
      <c r="E9" s="2">
        <f>SUM(E4:E8)</f>
        <v>5273564.4156</v>
      </c>
      <c r="F9" s="2">
        <f>SUM(F4:F8)</f>
        <v>6394041.797424</v>
      </c>
      <c r="G9" s="2">
        <f>SUM(G4:G8)</f>
        <v>8463403.8141834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26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6" customWidth="1"/>
  </cols>
  <sheetData>
    <row r="1">
      <c r="A1" s="3" t="inlineStr">
        <is>
          <t>Profit and loss</t>
        </is>
      </c>
    </row>
    <row r="3">
      <c r="C3" s="3">
        <f>Revenue!C3</f>
        <v>2027</v>
      </c>
      <c r="D3" s="3">
        <f>Revenue!D3</f>
        <v>2028</v>
      </c>
      <c r="E3" s="3">
        <f>Revenue!E3</f>
        <v>2029</v>
      </c>
      <c r="F3" s="3">
        <f>Revenue!F3</f>
        <v>2030</v>
      </c>
      <c r="G3" s="3">
        <f>Revenue!G3</f>
        <v>2031</v>
      </c>
      <c r="H3" s="3" t="inlineStr">
        <is>
          <t>5-year total</t>
        </is>
      </c>
    </row>
    <row r="4">
      <c r="A4" t="inlineStr">
        <is>
          <t>Revenue</t>
        </is>
      </c>
      <c r="C4" s="2">
        <f>Revenue!C7</f>
        <v>2053439.9999999998</v>
      </c>
      <c r="D4" s="2">
        <f>Revenue!D7</f>
        <v>3172564.8</v>
      </c>
      <c r="E4" s="2">
        <f>Revenue!E7</f>
        <v>4901612.615999999</v>
      </c>
      <c r="F4" s="2">
        <f>Revenue!F7</f>
        <v>6731547.99264</v>
      </c>
      <c r="G4" s="2">
        <f>Revenue!G7</f>
        <v>8666868.040524</v>
      </c>
      <c r="H4" s="2">
        <f>SUM(C4:G4)</f>
        <v>25526033.449163996</v>
      </c>
    </row>
    <row r="5">
      <c r="A5" t="inlineStr">
        <is>
          <t>Total costs</t>
        </is>
      </c>
      <c r="C5" s="2">
        <f>Costs!C9</f>
        <v>2966704</v>
      </c>
      <c r="D5" s="2">
        <f>Costs!D9</f>
        <v>3482397.68</v>
      </c>
      <c r="E5" s="2">
        <f>Costs!E9</f>
        <v>5273564.4156</v>
      </c>
      <c r="F5" s="2">
        <f>Costs!F9</f>
        <v>6394041.797424</v>
      </c>
      <c r="G5" s="2">
        <f>Costs!G9</f>
        <v>8463403.8141834</v>
      </c>
      <c r="H5" s="2">
        <f>SUM(C5:G5)</f>
        <v>26580111.707207397</v>
      </c>
    </row>
    <row r="6">
      <c r="A6" t="inlineStr">
        <is>
          <t>Profit before tax</t>
        </is>
      </c>
      <c r="C6" s="2">
        <f>C4-C5</f>
        <v>-913264.0000000002</v>
      </c>
      <c r="D6" s="2">
        <f>D4-D5</f>
        <v>-309832.88000000035</v>
      </c>
      <c r="E6" s="2">
        <f>E4-E5</f>
        <v>-371951.7996000005</v>
      </c>
      <c r="F6" s="2">
        <f>F4-F5</f>
        <v>337506.1952160001</v>
      </c>
      <c r="G6" s="2">
        <f>G4-G5</f>
        <v>203464.22634060122</v>
      </c>
      <c r="H6" s="2">
        <f>SUM(C6:G6)</f>
        <v>-1054078.2580433998</v>
      </c>
    </row>
    <row r="7">
      <c r="A7" t="inlineStr">
        <is>
          <t>Tax</t>
        </is>
      </c>
      <c r="C7" s="2">
        <f>MAX(0,C6*TaxRate)</f>
        <v>0</v>
      </c>
      <c r="D7" s="2">
        <f>MAX(0,D6*TaxRate)</f>
        <v>0</v>
      </c>
      <c r="E7" s="2">
        <f>MAX(0,E6*TaxRate)</f>
        <v>0</v>
      </c>
      <c r="F7" s="2">
        <f>MAX(0,F6*TaxRate)</f>
        <v>84376.54880400002</v>
      </c>
      <c r="G7" s="2">
        <f>MAX(0,G6*TaxRate)</f>
        <v>50866.056585150305</v>
      </c>
      <c r="H7" s="2">
        <f>SUM(C7:G7)</f>
        <v>135242.60538915033</v>
      </c>
    </row>
    <row r="8">
      <c r="A8" t="inlineStr">
        <is>
          <t>Net profit</t>
        </is>
      </c>
      <c r="C8" s="2">
        <f>C6-C7</f>
        <v>-913264.0000000002</v>
      </c>
      <c r="D8" s="2">
        <f>D6-D7</f>
        <v>-309832.88000000035</v>
      </c>
      <c r="E8" s="2">
        <f>E6-E7</f>
        <v>-371951.7996000005</v>
      </c>
      <c r="F8" s="2">
        <f>F6-F7</f>
        <v>253129.64641200006</v>
      </c>
      <c r="G8" s="2">
        <f>G6-G7</f>
        <v>152598.16975545092</v>
      </c>
      <c r="H8" s="2">
        <f>SUM(C8:F8)</f>
        <v>-1341919.033188001</v>
      </c>
    </row>
    <row r="10">
      <c r="A10" t="inlineStr">
        <is>
          <t>Net margin</t>
        </is>
      </c>
      <c r="C10" s="1">
        <f>IFERROR(C8/C4,0)</f>
        <v>-0.44474832476235016</v>
      </c>
      <c r="D10" s="1">
        <f>IFERROR(D8/D4,0)</f>
        <v>-0.09766006355488795</v>
      </c>
      <c r="E10" s="1">
        <f>IFERROR(E8/E4,0)</f>
        <v>-0.07588355684940577</v>
      </c>
      <c r="F10" s="1">
        <f>IFERROR(F8/F4,0)</f>
        <v>0.03760348239197903</v>
      </c>
      <c r="G10" s="1">
        <f>IFERROR(G8/G4,0)</f>
        <v>0.017607072017474124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30" customWidth="1"/>
    <col min="2" max="2" width="26" customWidth="1"/>
  </cols>
  <sheetData>
    <row r="1">
      <c r="A1" s="3" t="inlineStr">
        <is>
          <t>Northwind Coffee: plan at a glance</t>
        </is>
      </c>
    </row>
    <row r="3">
      <c r="A3" t="inlineStr">
        <is>
          <t>5-year revenue</t>
        </is>
      </c>
      <c r="B3" s="2">
        <f>'P&amp;L'!H4</f>
        <v>25526033.449163996</v>
      </c>
    </row>
    <row r="4">
      <c r="A4" t="inlineStr">
        <is>
          <t>5-year net profit</t>
        </is>
      </c>
      <c r="B4" s="2">
        <f>'P&amp;L'!H8</f>
        <v>-1341919.033188001</v>
      </c>
    </row>
    <row r="5">
      <c r="A5" t="inlineStr">
        <is>
          <t>Stores by 2031</t>
        </is>
      </c>
      <c r="B5">
        <f>Revenue!G4</f>
        <v>15</v>
      </c>
    </row>
    <row r="6">
      <c r="A6" t="inlineStr">
        <is>
          <t>Best year for profit</t>
        </is>
      </c>
      <c r="B6">
        <f>INDEX('P&amp;L'!C3:G3,MATCH(MAX('P&amp;L'!C8:G8),'P&amp;L'!C8:G8,0))</f>
        <v>2030</v>
      </c>
    </row>
    <row r="7">
      <c r="A7" t="inlineStr">
        <is>
          <t>Average net margin</t>
        </is>
      </c>
      <c r="B7" s="1">
        <f>AVERAGE('P&amp;L'!C10:G10)</f>
        <v>-0.11261627815143813</v>
      </c>
    </row>
    <row r="8">
      <c r="A8" t="inlineStr">
        <is>
          <t>Verdict</t>
        </is>
      </c>
      <c r="B8" t="str">
        <f>IF(B4&gt;0,"Profitable over 5 years","Loses money")</f>
        <v>Loses money</v>
      </c>
    </row>
    <row r="9">
      <c r="A9" t="inlineStr">
        <is>
          <t>Cash buffer needed</t>
        </is>
      </c>
      <c r="B9" s="2">
        <f>Scratch!B4</f>
        <v>741676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old workings, do not use</t>
        </is>
      </c>
    </row>
    <row r="3">
      <c r="A3" t="inlineStr">
        <is>
          <t>Buffer months</t>
        </is>
      </c>
      <c r="B3">
        <v>3</v>
      </c>
    </row>
    <row r="4">
      <c r="A4" t="inlineStr">
        <is>
          <t>Buffer</t>
        </is>
      </c>
      <c r="B4" s="2">
        <f>B3*Costs!C9/12</f>
        <v>741676</v>
      </c>
    </row>
    <row r="6">
      <c r="A6" t="inlineStr">
        <is>
          <t>Old FX rate</t>
        </is>
      </c>
      <c r="B6" t="e">
        <f>#REF!*1.1</f>
        <v>#REF!</v>
      </c>
    </row>
  </sheetData>
</worksheet>
</file>